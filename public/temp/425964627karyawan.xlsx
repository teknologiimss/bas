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B288DA08-9D3B-4244-8D90-3248A4AC126F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1" l="1"/>
  <c r="AW3" i="1" s="1"/>
  <c r="AC3" i="1"/>
  <c r="K3" i="1"/>
  <c r="I3" i="1"/>
  <c r="J3" i="1" l="1"/>
</calcChain>
</file>

<file path=xl/sharedStrings.xml><?xml version="1.0" encoding="utf-8"?>
<sst xmlns="http://schemas.openxmlformats.org/spreadsheetml/2006/main" count="115" uniqueCount="108">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</sst>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sz val="8"/>
      <color theme="1"/>
      <name val="Calibri"/>
      <family val="2"/>
    </font>
    <font>
      <sz val="8"/>
      <color rgb="FF000000"/>
      <name val="Calibri"/>
    </font>
    <font>
      <b/>
      <sz val="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5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 vertical="top"/>
    </xf>
    <xf numFmtId="14" fontId="0" fillId="0" borderId="0" xfId="0" applyNumberFormat="1"/>
    <xf numFmtId="0" fontId="4" fillId="4" borderId="2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6"/>
  <sheetViews>
    <sheetView tabSelected="1" workbookViewId="0">
      <selection activeCell="E12" sqref="E12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2" customWidth="1"/>
    <col min="4" max="4" width="12.44140625" style="12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0" x14ac:dyDescent="0.3">
      <c r="B1" s="26"/>
    </row>
    <row r="2" spans="1:80" ht="11.25" customHeight="1" x14ac:dyDescent="0.3">
      <c r="A2" s="27" t="s">
        <v>0</v>
      </c>
      <c r="B2" s="29" t="s">
        <v>1</v>
      </c>
      <c r="C2" s="30" t="s">
        <v>2</v>
      </c>
      <c r="D2" s="29" t="s">
        <v>3</v>
      </c>
      <c r="E2" s="31" t="s">
        <v>4</v>
      </c>
      <c r="F2" s="30" t="s">
        <v>5</v>
      </c>
      <c r="G2" s="30" t="s">
        <v>6</v>
      </c>
      <c r="H2" s="28" t="s">
        <v>7</v>
      </c>
      <c r="I2" s="30" t="s">
        <v>8</v>
      </c>
      <c r="J2" s="30" t="s">
        <v>9</v>
      </c>
      <c r="K2" s="30" t="s">
        <v>10</v>
      </c>
      <c r="L2" s="30" t="s">
        <v>101</v>
      </c>
      <c r="M2" s="30" t="s">
        <v>11</v>
      </c>
      <c r="N2" s="32" t="s">
        <v>12</v>
      </c>
      <c r="O2" s="33" t="s">
        <v>13</v>
      </c>
      <c r="P2" s="30" t="s">
        <v>14</v>
      </c>
      <c r="Q2" s="30" t="s">
        <v>102</v>
      </c>
      <c r="R2" s="30" t="s">
        <v>103</v>
      </c>
      <c r="S2" s="30" t="s">
        <v>104</v>
      </c>
      <c r="T2" s="30" t="s">
        <v>15</v>
      </c>
      <c r="U2" s="30" t="s">
        <v>16</v>
      </c>
      <c r="V2" s="30" t="s">
        <v>17</v>
      </c>
      <c r="W2" s="30" t="s">
        <v>18</v>
      </c>
      <c r="X2" s="30" t="s">
        <v>19</v>
      </c>
      <c r="Y2" s="30" t="s">
        <v>20</v>
      </c>
      <c r="Z2" s="30" t="s">
        <v>21</v>
      </c>
      <c r="AA2" s="30" t="s">
        <v>22</v>
      </c>
      <c r="AB2" s="32" t="s">
        <v>23</v>
      </c>
      <c r="AC2" s="30" t="s">
        <v>24</v>
      </c>
      <c r="AD2" s="31" t="s">
        <v>25</v>
      </c>
      <c r="AE2" s="30" t="s">
        <v>26</v>
      </c>
      <c r="AF2" s="31" t="s">
        <v>27</v>
      </c>
      <c r="AG2" s="31" t="s">
        <v>28</v>
      </c>
      <c r="AH2" s="31" t="s">
        <v>105</v>
      </c>
      <c r="AI2" s="30" t="s">
        <v>29</v>
      </c>
      <c r="AJ2" s="31" t="s">
        <v>30</v>
      </c>
      <c r="AK2" s="31" t="s">
        <v>31</v>
      </c>
      <c r="AL2" s="30" t="s">
        <v>32</v>
      </c>
      <c r="AM2" s="30" t="s">
        <v>33</v>
      </c>
      <c r="AN2" s="30" t="s">
        <v>34</v>
      </c>
      <c r="AO2" s="30" t="s">
        <v>35</v>
      </c>
      <c r="AP2" s="30" t="s">
        <v>36</v>
      </c>
      <c r="AQ2" s="30" t="s">
        <v>37</v>
      </c>
      <c r="AR2" s="30" t="s">
        <v>38</v>
      </c>
      <c r="AS2" s="30" t="s">
        <v>39</v>
      </c>
      <c r="AT2" s="30" t="s">
        <v>40</v>
      </c>
      <c r="AU2" s="30" t="s">
        <v>41</v>
      </c>
      <c r="AV2" s="30" t="s">
        <v>42</v>
      </c>
      <c r="AW2" s="30" t="s">
        <v>43</v>
      </c>
      <c r="AX2" s="30" t="s">
        <v>106</v>
      </c>
      <c r="AY2" s="29" t="s">
        <v>44</v>
      </c>
      <c r="AZ2" s="30" t="s">
        <v>45</v>
      </c>
      <c r="BA2" s="30" t="s">
        <v>46</v>
      </c>
      <c r="BB2" s="30" t="s">
        <v>47</v>
      </c>
      <c r="BC2" s="30" t="s">
        <v>48</v>
      </c>
      <c r="BD2" s="30" t="s">
        <v>49</v>
      </c>
      <c r="BE2" s="30" t="s">
        <v>50</v>
      </c>
      <c r="BF2" s="30" t="s">
        <v>51</v>
      </c>
      <c r="BG2" s="30" t="s">
        <v>52</v>
      </c>
      <c r="BH2" s="30" t="s">
        <v>107</v>
      </c>
      <c r="BI2" s="33" t="s">
        <v>53</v>
      </c>
      <c r="BJ2" s="33" t="s">
        <v>54</v>
      </c>
      <c r="BK2" s="30" t="s">
        <v>55</v>
      </c>
      <c r="BL2" s="30" t="s">
        <v>56</v>
      </c>
      <c r="BM2" s="30" t="s">
        <v>57</v>
      </c>
      <c r="BN2" s="33" t="s">
        <v>58</v>
      </c>
      <c r="BO2" s="33" t="s">
        <v>59</v>
      </c>
      <c r="BP2" s="33" t="s">
        <v>60</v>
      </c>
      <c r="BQ2" s="30" t="s">
        <v>61</v>
      </c>
      <c r="BR2" s="30" t="s">
        <v>62</v>
      </c>
      <c r="BS2" s="30" t="s">
        <v>63</v>
      </c>
      <c r="BT2" s="30" t="s">
        <v>64</v>
      </c>
      <c r="BU2" s="30" t="s">
        <v>65</v>
      </c>
      <c r="BV2" s="30" t="s">
        <v>66</v>
      </c>
      <c r="BW2" s="30" t="s">
        <v>67</v>
      </c>
      <c r="BX2" s="30" t="s">
        <v>68</v>
      </c>
      <c r="BY2" s="30" t="s">
        <v>69</v>
      </c>
      <c r="BZ2" s="30" t="s">
        <v>70</v>
      </c>
      <c r="CA2" s="30" t="s">
        <v>71</v>
      </c>
      <c r="CB2" s="30" t="s">
        <v>72</v>
      </c>
    </row>
    <row r="3" spans="1:80" ht="11.25" customHeight="1" x14ac:dyDescent="0.3">
      <c r="A3" s="34">
        <v>1</v>
      </c>
      <c r="B3" s="13" t="s">
        <v>78</v>
      </c>
      <c r="C3" s="14">
        <v>971500002</v>
      </c>
      <c r="D3" s="13">
        <v>1710003919928</v>
      </c>
      <c r="E3" s="15"/>
      <c r="F3" s="16" t="s">
        <v>73</v>
      </c>
      <c r="G3" s="17" t="s">
        <v>73</v>
      </c>
      <c r="H3" s="18">
        <v>41884</v>
      </c>
      <c r="I3" s="17" t="e">
        <f>DATEDIF(H3,B1,"y")</f>
        <v>#NUM!</v>
      </c>
      <c r="J3" s="17" t="e">
        <f>DATEDIF(H3,B1,"ym")</f>
        <v>#NUM!</v>
      </c>
      <c r="K3" s="17" t="str">
        <f t="shared" ref="K3" si="0">IF(LEFT(C3,2)="99","ORGANIK INKA",IF(LEFT(C3,2)="97","ORGANIK IMSS",IF(LEFT(C3,2)="75","Capeg",IF(LEFT(C3,2)="64","PKWT","Resign"))))</f>
        <v>ORGANIK IMSS</v>
      </c>
      <c r="L3" s="17" t="s">
        <v>79</v>
      </c>
      <c r="M3" s="17" t="s">
        <v>80</v>
      </c>
      <c r="N3" s="19">
        <v>42491</v>
      </c>
      <c r="O3" s="20"/>
      <c r="P3" s="21" t="s">
        <v>81</v>
      </c>
      <c r="Q3" s="17" t="s">
        <v>82</v>
      </c>
      <c r="R3" s="17" t="s">
        <v>83</v>
      </c>
      <c r="S3" s="17" t="s">
        <v>77</v>
      </c>
      <c r="T3" s="17" t="s">
        <v>84</v>
      </c>
      <c r="U3" s="17" t="s">
        <v>85</v>
      </c>
      <c r="V3" s="17" t="s">
        <v>86</v>
      </c>
      <c r="W3" s="17" t="s">
        <v>74</v>
      </c>
      <c r="X3" s="17" t="s">
        <v>87</v>
      </c>
      <c r="Y3" s="17"/>
      <c r="Z3" s="17" t="s">
        <v>88</v>
      </c>
      <c r="AA3" s="17" t="s">
        <v>89</v>
      </c>
      <c r="AB3" s="22">
        <v>27206</v>
      </c>
      <c r="AC3" s="17" t="e">
        <f t="shared" ref="AC3" si="1">DATEDIF(AB3,$D$3,"y")</f>
        <v>#NUM!</v>
      </c>
      <c r="AD3" s="23" t="s">
        <v>90</v>
      </c>
      <c r="AE3" s="17" t="s">
        <v>91</v>
      </c>
      <c r="AF3" s="15" t="s">
        <v>92</v>
      </c>
      <c r="AG3" s="15"/>
      <c r="AH3" s="15"/>
      <c r="AI3" s="24" t="s">
        <v>93</v>
      </c>
      <c r="AJ3" s="23" t="s">
        <v>94</v>
      </c>
      <c r="AK3" s="23">
        <v>13001911588</v>
      </c>
      <c r="AL3" s="17" t="s">
        <v>75</v>
      </c>
      <c r="AM3" s="17" t="s">
        <v>95</v>
      </c>
      <c r="AN3" s="17" t="s">
        <v>96</v>
      </c>
      <c r="AO3" s="17"/>
      <c r="AP3" s="17"/>
      <c r="AQ3" s="17"/>
      <c r="AR3" s="17" t="s">
        <v>97</v>
      </c>
      <c r="AS3" s="17" t="s">
        <v>97</v>
      </c>
      <c r="AT3" s="17" t="s">
        <v>97</v>
      </c>
      <c r="AU3" s="17" t="s">
        <v>97</v>
      </c>
      <c r="AV3" s="17">
        <f t="shared" ref="AV3" si="2">COUNTA(AN3:AQ3)</f>
        <v>1</v>
      </c>
      <c r="AW3" s="17" t="str">
        <f t="shared" ref="AW3" si="3">IF(AL3="Menikah","K","TK")&amp;"/"&amp;AV3</f>
        <v>K/1</v>
      </c>
      <c r="AX3" s="17"/>
      <c r="AY3" s="13">
        <v>712677376621000</v>
      </c>
      <c r="AZ3" s="16" t="s">
        <v>76</v>
      </c>
      <c r="BA3" s="17" t="s">
        <v>98</v>
      </c>
      <c r="BB3" s="17" t="s">
        <v>99</v>
      </c>
      <c r="BC3" s="17" t="s">
        <v>100</v>
      </c>
      <c r="BD3" s="17">
        <v>2009</v>
      </c>
      <c r="BE3" s="17" t="s">
        <v>98</v>
      </c>
      <c r="BF3" s="17" t="s">
        <v>99</v>
      </c>
      <c r="BG3" s="17" t="s">
        <v>100</v>
      </c>
      <c r="BH3" s="17">
        <v>2009</v>
      </c>
      <c r="BI3" s="25">
        <v>47604</v>
      </c>
      <c r="BJ3" s="25">
        <v>47969</v>
      </c>
      <c r="BK3" s="18"/>
      <c r="BL3" s="17"/>
      <c r="BM3" s="17">
        <v>42</v>
      </c>
      <c r="BN3" s="20">
        <v>44293</v>
      </c>
      <c r="BO3" s="20">
        <v>44322</v>
      </c>
      <c r="BP3" s="20">
        <v>44585</v>
      </c>
      <c r="BQ3" s="20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</row>
    <row r="4" spans="1:80" ht="11.25" customHeight="1" x14ac:dyDescent="0.3">
      <c r="A4" s="1"/>
      <c r="B4" s="2"/>
      <c r="C4" s="3"/>
      <c r="D4" s="3"/>
      <c r="E4" s="1"/>
      <c r="F4" s="1"/>
      <c r="G4" s="4"/>
      <c r="H4" s="1"/>
      <c r="I4" s="1"/>
      <c r="J4" s="1"/>
      <c r="K4" s="1"/>
      <c r="L4" s="5"/>
      <c r="M4" s="1"/>
      <c r="N4" s="1"/>
      <c r="O4" s="10"/>
      <c r="P4" s="1"/>
      <c r="Q4" s="1"/>
      <c r="R4" s="1"/>
      <c r="S4" s="1"/>
      <c r="T4" s="1"/>
      <c r="U4" s="1"/>
      <c r="V4" s="1"/>
      <c r="W4" s="1"/>
      <c r="X4" s="1"/>
      <c r="Y4" s="4"/>
      <c r="Z4" s="6"/>
      <c r="AA4" s="1"/>
      <c r="AB4" s="11"/>
      <c r="AC4" s="1"/>
      <c r="AD4" s="1"/>
      <c r="AE4" s="1"/>
      <c r="AF4" s="7"/>
      <c r="AG4" s="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8"/>
      <c r="AU4" s="1"/>
      <c r="AV4" s="1"/>
      <c r="AW4" s="1"/>
      <c r="AX4" s="1"/>
      <c r="AY4" s="1"/>
      <c r="AZ4" s="1"/>
      <c r="BA4" s="1"/>
      <c r="BB4" s="1"/>
      <c r="BC4" s="1"/>
      <c r="BD4" s="9"/>
      <c r="BE4" s="9"/>
      <c r="BF4" s="1"/>
      <c r="BG4" s="1"/>
      <c r="BH4" s="1"/>
      <c r="BI4" s="4"/>
      <c r="BJ4" s="4"/>
      <c r="BK4" s="4"/>
      <c r="BL4" s="4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80" ht="11.25" customHeight="1" x14ac:dyDescent="0.3">
      <c r="A5" s="1"/>
      <c r="B5" s="2"/>
      <c r="C5" s="3"/>
      <c r="D5" s="3"/>
      <c r="E5" s="1"/>
      <c r="F5" s="1"/>
      <c r="G5" s="4"/>
      <c r="H5" s="1"/>
      <c r="I5" s="1"/>
      <c r="J5" s="1"/>
      <c r="K5" s="1"/>
      <c r="L5" s="5"/>
      <c r="M5" s="1"/>
      <c r="N5" s="1"/>
      <c r="O5" s="10"/>
      <c r="P5" s="1"/>
      <c r="Q5" s="1"/>
      <c r="R5" s="1"/>
      <c r="S5" s="1"/>
      <c r="T5" s="1"/>
      <c r="U5" s="1"/>
      <c r="V5" s="1"/>
      <c r="W5" s="1"/>
      <c r="X5" s="1"/>
      <c r="Y5" s="4"/>
      <c r="Z5" s="6"/>
      <c r="AA5" s="1"/>
      <c r="AB5" s="11"/>
      <c r="AC5" s="1"/>
      <c r="AD5" s="1"/>
      <c r="AE5" s="1"/>
      <c r="AF5" s="7"/>
      <c r="AG5" s="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8"/>
      <c r="AU5" s="1"/>
      <c r="AV5" s="1"/>
      <c r="AW5" s="1"/>
      <c r="AX5" s="1"/>
      <c r="AY5" s="1"/>
      <c r="AZ5" s="1"/>
      <c r="BA5" s="1"/>
      <c r="BB5" s="1"/>
      <c r="BC5" s="1"/>
      <c r="BD5" s="9"/>
      <c r="BE5" s="9"/>
      <c r="BF5" s="1"/>
      <c r="BG5" s="1"/>
      <c r="BH5" s="1"/>
      <c r="BI5" s="4"/>
      <c r="BJ5" s="4"/>
      <c r="BK5" s="4"/>
      <c r="BL5" s="4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80" ht="11.25" customHeight="1" x14ac:dyDescent="0.3">
      <c r="A6" s="1"/>
      <c r="B6" s="2"/>
      <c r="C6" s="3"/>
      <c r="D6" s="3"/>
      <c r="E6" s="1"/>
      <c r="F6" s="1"/>
      <c r="G6" s="4"/>
      <c r="H6" s="1"/>
      <c r="I6" s="1"/>
      <c r="J6" s="1"/>
      <c r="K6" s="1"/>
      <c r="L6" s="5"/>
      <c r="M6" s="1"/>
      <c r="N6" s="1"/>
      <c r="O6" s="10"/>
      <c r="P6" s="1"/>
      <c r="Q6" s="1"/>
      <c r="R6" s="1"/>
      <c r="S6" s="1"/>
      <c r="T6" s="1"/>
      <c r="U6" s="1"/>
      <c r="V6" s="1"/>
      <c r="W6" s="1"/>
      <c r="X6" s="1"/>
      <c r="Y6" s="4"/>
      <c r="Z6" s="6"/>
      <c r="AA6" s="1"/>
      <c r="AB6" s="11"/>
      <c r="AC6" s="1"/>
      <c r="AD6" s="1"/>
      <c r="AE6" s="1"/>
      <c r="AF6" s="7"/>
      <c r="AG6" s="8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8"/>
      <c r="AU6" s="1"/>
      <c r="AV6" s="1"/>
      <c r="AW6" s="1"/>
      <c r="AX6" s="1"/>
      <c r="AY6" s="1"/>
      <c r="AZ6" s="1"/>
      <c r="BA6" s="1"/>
      <c r="BB6" s="1"/>
      <c r="BC6" s="1"/>
      <c r="BD6" s="9"/>
      <c r="BE6" s="9"/>
      <c r="BF6" s="1"/>
      <c r="BG6" s="1"/>
      <c r="BH6" s="1"/>
      <c r="BI6" s="4"/>
      <c r="BJ6" s="4"/>
      <c r="BK6" s="4"/>
      <c r="BL6" s="4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</sheetData>
  <conditionalFormatting sqref="B2:B3">
    <cfRule type="duplicateValues" dxfId="2" priority="1"/>
  </conditionalFormatting>
  <conditionalFormatting sqref="C2:C3">
    <cfRule type="duplicateValues" dxfId="1" priority="3"/>
  </conditionalFormatting>
  <conditionalFormatting sqref="AJ2:AJ3">
    <cfRule type="duplicateValues" dxfId="0" priority="2"/>
  </conditionalFormatting>
  <dataValidations count="1">
    <dataValidation type="list" allowBlank="1" showErrorMessage="1" sqref="AL3" xr:uid="{881D9CA5-3CBB-45DF-841B-3862ACE81179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2025-09-29T06:52:55Z</dcterms:modified>
</cp:coreProperties>
</file>